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09DA0E07-CB5A-4523-9562-ECB0AD4A55FB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双面平衡" sheetId="22" r:id="rId1"/>
  </sheets>
  <functionGroups builtInGroupCount="19"/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4" i="22" l="1"/>
  <c r="B13" i="22"/>
  <c r="B12" i="22"/>
  <c r="B11" i="22"/>
  <c r="B1048576" i="22"/>
  <c r="B1048575" i="22"/>
  <c r="B1048573" i="22"/>
  <c r="B1048574" i="22"/>
  <c r="B1048568" i="22"/>
  <c r="B1048571" i="22"/>
  <c r="B1048572" i="22"/>
  <c r="B1048569" i="22"/>
  <c r="B1048570" i="22"/>
  <c r="C1048570" i="22"/>
  <c r="C1048569" i="22"/>
  <c r="B17" i="22"/>
  <c r="B18" i="22"/>
  <c r="B16" i="22"/>
  <c r="B15" i="22"/>
  <c r="B20" i="22"/>
  <c r="B21" i="22"/>
</calcChain>
</file>

<file path=xl/sharedStrings.xml><?xml version="1.0" encoding="utf-8"?>
<sst xmlns="http://schemas.openxmlformats.org/spreadsheetml/2006/main" count="38" uniqueCount="38">
  <si>
    <t>双面平衡</t>
    <phoneticPr fontId="1" type="noConversion"/>
  </si>
  <si>
    <t>原始振动A0</t>
    <phoneticPr fontId="1" type="noConversion"/>
  </si>
  <si>
    <t>原始振动B0</t>
    <phoneticPr fontId="1" type="noConversion"/>
  </si>
  <si>
    <t>I面试加重P1</t>
    <phoneticPr fontId="1" type="noConversion"/>
  </si>
  <si>
    <t>加重后P1后振动A1</t>
    <phoneticPr fontId="1" type="noConversion"/>
  </si>
  <si>
    <t>加重后P1后振动B1</t>
    <phoneticPr fontId="1" type="noConversion"/>
  </si>
  <si>
    <t>II面加重是否取P1</t>
    <phoneticPr fontId="1" type="noConversion"/>
  </si>
  <si>
    <t>II面试加重P2</t>
    <phoneticPr fontId="1" type="noConversion"/>
  </si>
  <si>
    <t>加重P2后振动A2</t>
    <phoneticPr fontId="1" type="noConversion"/>
  </si>
  <si>
    <t>加重P2后振动B2</t>
    <phoneticPr fontId="1" type="noConversion"/>
  </si>
  <si>
    <t>影响系数α11</t>
    <phoneticPr fontId="1" type="noConversion"/>
  </si>
  <si>
    <t>影响系数α12</t>
    <phoneticPr fontId="1" type="noConversion"/>
  </si>
  <si>
    <t>影响系数α21</t>
    <phoneticPr fontId="1" type="noConversion"/>
  </si>
  <si>
    <t>影响系数α22</t>
    <phoneticPr fontId="1" type="noConversion"/>
  </si>
  <si>
    <t>I面加重Q1(去重P2)</t>
  </si>
  <si>
    <t>II面加重Q2(去重P2)</t>
  </si>
  <si>
    <t>I面加重Q1(不去重P2)</t>
    <phoneticPr fontId="1" type="noConversion"/>
  </si>
  <si>
    <t>II面加重Q2(不去重P2)</t>
    <phoneticPr fontId="1" type="noConversion"/>
  </si>
  <si>
    <t>a'11</t>
    <phoneticPr fontId="1" type="noConversion"/>
  </si>
  <si>
    <t>a'12</t>
    <phoneticPr fontId="1" type="noConversion"/>
  </si>
  <si>
    <t>a'21</t>
    <phoneticPr fontId="1" type="noConversion"/>
  </si>
  <si>
    <t>a'22</t>
    <phoneticPr fontId="1" type="noConversion"/>
  </si>
  <si>
    <t>-A0</t>
    <phoneticPr fontId="1" type="noConversion"/>
  </si>
  <si>
    <t>-B0</t>
    <phoneticPr fontId="1" type="noConversion"/>
  </si>
  <si>
    <t>-A2</t>
    <phoneticPr fontId="1" type="noConversion"/>
  </si>
  <si>
    <t>-B2</t>
    <phoneticPr fontId="1" type="noConversion"/>
  </si>
  <si>
    <t>#1</t>
    <phoneticPr fontId="1" type="noConversion"/>
  </si>
  <si>
    <t>验算-A0</t>
    <phoneticPr fontId="1" type="noConversion"/>
  </si>
  <si>
    <t>验算-B0</t>
    <phoneticPr fontId="1" type="noConversion"/>
  </si>
  <si>
    <t>40.8∠232°</t>
  </si>
  <si>
    <t>19.3∠61.2°</t>
  </si>
  <si>
    <t>是</t>
  </si>
  <si>
    <t>10000∠330</t>
    <phoneticPr fontId="1" type="noConversion"/>
  </si>
  <si>
    <t>17.5∠230°</t>
  </si>
  <si>
    <t>10000∠10</t>
    <phoneticPr fontId="1" type="noConversion"/>
  </si>
  <si>
    <t>31.5∠286.6°</t>
  </si>
  <si>
    <t>39.3∠97.9°</t>
  </si>
  <si>
    <t>20.1∠63.4°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</si>
</sst>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0" fillId="2" borderId="0" xfId="0" quotePrefix="1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14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D40D6-ED76-4D6B-8600-40D4CCA9451E}">
  <sheetPr codeName="Sheet3"/>
  <dimension ref="A1:F1048576"/>
  <sheetViews>
    <sheetView tabSelected="1" workbookViewId="0">
      <selection activeCell="C12" sqref="C12"/>
    </sheetView>
  </sheetViews>
  <sheetFormatPr defaultRowHeight="13.5" x14ac:dyDescent="0.15"/>
  <cols>
    <col min="1" max="1" width="21.875" bestFit="1" customWidth="1"/>
    <col min="2" max="2" width="40.5" customWidth="1"/>
    <col min="3" max="3" width="25" customWidth="1"/>
    <col min="4" max="4" width="19.125" bestFit="1" customWidth="1"/>
    <col min="5" max="5" width="14.75" bestFit="1" customWidth="1"/>
    <col min="6" max="6" width="24.75" bestFit="1" customWidth="1"/>
  </cols>
  <sheetData>
    <row r="1" spans="1:6" x14ac:dyDescent="0.15">
      <c r="A1" s="5" t="s">
        <v>0</v>
      </c>
      <c r="B1" s="4" t="s">
        <v>26</v>
      </c>
    </row>
    <row r="2" spans="1:6" x14ac:dyDescent="0.15">
      <c r="A2" s="4" t="s">
        <v>1</v>
      </c>
      <c r="B2" s="1" t="s">
        <v>37</v>
      </c>
    </row>
    <row r="3" spans="1:6" x14ac:dyDescent="0.15">
      <c r="A3" s="4" t="s">
        <v>2</v>
      </c>
      <c r="B3" s="3" t="s">
        <v>33</v>
      </c>
    </row>
    <row r="4" spans="1:6" x14ac:dyDescent="0.15">
      <c r="A4" s="4" t="s">
        <v>3</v>
      </c>
      <c r="B4" s="3" t="s">
        <v>32</v>
      </c>
    </row>
    <row r="5" spans="1:6" x14ac:dyDescent="0.15">
      <c r="A5" s="4" t="s">
        <v>4</v>
      </c>
      <c r="B5" s="3" t="s">
        <v>29</v>
      </c>
    </row>
    <row r="6" spans="1:6" x14ac:dyDescent="0.15">
      <c r="A6" s="4" t="s">
        <v>5</v>
      </c>
      <c r="B6" s="3" t="s">
        <v>30</v>
      </c>
      <c r="D6" s="10"/>
    </row>
    <row r="7" spans="1:6" x14ac:dyDescent="0.15">
      <c r="A7" s="4" t="s">
        <v>6</v>
      </c>
      <c r="B7" s="4" t="s">
        <v>31</v>
      </c>
    </row>
    <row r="8" spans="1:6" x14ac:dyDescent="0.15">
      <c r="A8" s="4" t="s">
        <v>7</v>
      </c>
      <c r="B8" s="3" t="s">
        <v>34</v>
      </c>
    </row>
    <row r="9" spans="1:6" x14ac:dyDescent="0.15">
      <c r="A9" s="4" t="s">
        <v>8</v>
      </c>
      <c r="B9" s="3" t="s">
        <v>35</v>
      </c>
    </row>
    <row r="10" spans="1:6" x14ac:dyDescent="0.15">
      <c r="A10" s="4" t="s">
        <v>9</v>
      </c>
      <c r="B10" s="3" t="s">
        <v>36</v>
      </c>
    </row>
    <row r="11" spans="1:6" x14ac:dyDescent="0.15">
      <c r="A11" s="4" t="s">
        <v>10</v>
      </c>
      <c r="B11" s="4" t="str">
        <f>VecDiv(vecsub(B5,B2),B4)</f>
        <v>6.06337494285778E-03∠265.756889839638</v>
      </c>
      <c r="C11" s="3"/>
    </row>
    <row r="12" spans="1:6" x14ac:dyDescent="0.15">
      <c r="A12" s="4" t="s">
        <v>11</v>
      </c>
      <c r="B12" s="4" t="str">
        <f>IF(B7="是",VecDiv(vecsub(B9,B2),B8),VecDiv(vecsub(B9,B5),B8))</f>
        <v>4.81596612623442E-03∠259.999079058682</v>
      </c>
      <c r="D12" s="11"/>
      <c r="E12" s="7"/>
    </row>
    <row r="13" spans="1:6" x14ac:dyDescent="0.15">
      <c r="A13" s="4" t="s">
        <v>12</v>
      </c>
      <c r="B13" s="4" t="str">
        <f>VecDiv(vecsub(B6,B3),B4)</f>
        <v>3.66247895207383E-03∠85.8747864948249</v>
      </c>
    </row>
    <row r="14" spans="1:6" x14ac:dyDescent="0.15">
      <c r="A14" s="4" t="s">
        <v>13</v>
      </c>
      <c r="B14" s="4" t="str">
        <f>IF(B7="是",VecDiv(vecsub(B10,B3),B8),VecDiv(vecsub(B10,B6),B8))</f>
        <v>5.26584448533929E-03∠73.6247089513751</v>
      </c>
    </row>
    <row r="15" spans="1:6" x14ac:dyDescent="0.15">
      <c r="A15" s="4" t="s">
        <v>14</v>
      </c>
      <c r="B15" s="4" t="str">
        <f>VecDisp(VecAdd(VecProduct(B1048569,B1048573),VecProduct(B1048570,B1048574)),2)</f>
        <v>1683.09∠10.44°</v>
      </c>
      <c r="F15" s="8"/>
    </row>
    <row r="16" spans="1:6" x14ac:dyDescent="0.15">
      <c r="A16" s="4" t="s">
        <v>15</v>
      </c>
      <c r="B16" s="4" t="str">
        <f>VecDisp(VecAdd(VecProduct(B1048571,B1048573),VecProduct(B1048572,B1048574)),2)</f>
        <v>2653.37∠317.77°</v>
      </c>
      <c r="E16" s="8"/>
      <c r="F16" s="8"/>
    </row>
    <row r="17" spans="1:5" x14ac:dyDescent="0.15">
      <c r="A17" s="4" t="s">
        <v>16</v>
      </c>
      <c r="B17" s="4" t="str">
        <f>VecDisp(VecAdd(VecProduct(B1048569,B1048575),VecProduct(B1048570,B1048576)),2)</f>
        <v>1683.09∠10.44°</v>
      </c>
      <c r="C17" s="9"/>
      <c r="D17" s="9"/>
      <c r="E17" s="9"/>
    </row>
    <row r="18" spans="1:5" x14ac:dyDescent="0.15">
      <c r="A18" s="4" t="s">
        <v>17</v>
      </c>
      <c r="B18" s="4" t="str">
        <f>VecDisp(VecAdd(VecProduct(B1048571,B1048575),VecProduct(B1048572,B1048576)),2)</f>
        <v>8633.42∠204.06°</v>
      </c>
      <c r="C18" s="9"/>
      <c r="D18" s="9"/>
      <c r="E18" s="9"/>
    </row>
    <row r="20" spans="1:5" x14ac:dyDescent="0.15">
      <c r="A20" t="s">
        <v>27</v>
      </c>
      <c r="B20" t="str">
        <f>VecDisp(VecAdd(VecProduct(B15,B11),VecProduct(B16,B12)))</f>
        <v>20.1∠243.4°</v>
      </c>
    </row>
    <row r="21" spans="1:5" x14ac:dyDescent="0.15">
      <c r="A21" t="s">
        <v>28</v>
      </c>
      <c r="B21" t="str">
        <f>VecDisp(VecAdd(VecProduct(B15,B13),VecProduct(B16,B14)))</f>
        <v>17.5∠50°</v>
      </c>
      <c r="C21" s="11"/>
      <c r="D21" s="11"/>
    </row>
    <row r="22" spans="1:5" x14ac:dyDescent="0.15">
      <c r="D22" s="11"/>
    </row>
    <row r="1048568" spans="1:3" x14ac:dyDescent="0.15">
      <c r="A1048568" s="2"/>
      <c r="B1048568" s="2" t="str">
        <f>vecsub(VecProduct(B11,B14),VecProduct(B12,B13))</f>
        <v>1.45409442887172E-05∠331.498378602143°</v>
      </c>
    </row>
    <row r="1048569" spans="1:3" x14ac:dyDescent="0.15">
      <c r="A1048569" s="2" t="s">
        <v>18</v>
      </c>
      <c r="B1048569" s="2" t="str">
        <f>VecDiv(B14,B$1048568)</f>
        <v>362.139100513935∠102.126330349232</v>
      </c>
      <c r="C1048569" t="str">
        <f>VecAdd(VecProduct(B1048573,B1048569),VecProduct(B1048574,B1048570))</f>
        <v>1683.09488953944∠10.4370490114939°</v>
      </c>
    </row>
    <row r="1048570" spans="1:3" x14ac:dyDescent="0.15">
      <c r="A1048570" s="2" t="s">
        <v>19</v>
      </c>
      <c r="B1048570" s="2" t="str">
        <f>VecDiv(VecProduct("1∠180",B12),B$1048568)</f>
        <v>331.200369839206∠108.500700456539</v>
      </c>
      <c r="C1048570" t="str">
        <f>VecAdd(VecProduct(B1048573,B1048571),VecProduct(B1048574,B1048572))</f>
        <v>2653.36511048077∠317.771397376863°</v>
      </c>
    </row>
    <row r="1048571" spans="1:3" x14ac:dyDescent="0.15">
      <c r="A1048571" s="2" t="s">
        <v>20</v>
      </c>
      <c r="B1048571" s="2" t="str">
        <f>VecDiv(VecProduct("1∠180",B13),B$1048568)</f>
        <v>251.873528936884∠294.376407892682</v>
      </c>
    </row>
    <row r="1048572" spans="1:3" x14ac:dyDescent="0.15">
      <c r="A1048572" s="2" t="s">
        <v>21</v>
      </c>
      <c r="B1048572" s="2" t="str">
        <f>VecDiv(B11,B$1048568)</f>
        <v>416.986326504432∠294.258511237495</v>
      </c>
    </row>
    <row r="1048573" spans="1:3" x14ac:dyDescent="0.15">
      <c r="A1048573" s="6" t="s">
        <v>22</v>
      </c>
      <c r="B1048573" s="2" t="str">
        <f>VecProduct("1∠180",B2)</f>
        <v>20.1∠243.4°</v>
      </c>
    </row>
    <row r="1048574" spans="1:3" x14ac:dyDescent="0.15">
      <c r="A1048574" s="6" t="s">
        <v>23</v>
      </c>
      <c r="B1048574" s="2" t="str">
        <f>VecProduct("1∠180",B3)</f>
        <v>17.5∠50°</v>
      </c>
    </row>
    <row r="1048575" spans="1:3" x14ac:dyDescent="0.15">
      <c r="A1048575" s="6" t="s">
        <v>24</v>
      </c>
      <c r="B1048575" s="2" t="str">
        <f>VecProduct("1∠180",B9)</f>
        <v>31.5∠106.6°</v>
      </c>
    </row>
    <row r="1048576" spans="1:3" x14ac:dyDescent="0.15">
      <c r="A1048576" s="6" t="s">
        <v>25</v>
      </c>
      <c r="B1048576" s="2" t="str">
        <f>VecProduct("1∠180",B10)</f>
        <v>39.3∠277.9°</v>
      </c>
    </row>
  </sheetData>
  <phoneticPr fontId="1" type="noConversion"/>
  <dataValidations disablePrompts="1" count="1">
    <dataValidation type="list" allowBlank="1" showInputMessage="1" showErrorMessage="1" sqref="B7" xr:uid="{B181B38B-04CF-43AF-8FF7-329A72E9199B}">
      <formula1>"是,否"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双面平衡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2017-02-20T08:34:23Z</dcterms:created>
  <dcterms:modified xsi:type="dcterms:W3CDTF">2019-05-15T13:54:28Z</dcterms:modified>
</cp:coreProperties>
</file>